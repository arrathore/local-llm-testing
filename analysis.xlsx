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oorav/Projects/aider_testing/"/>
    </mc:Choice>
  </mc:AlternateContent>
  <xr:revisionPtr revIDLastSave="0" documentId="13_ncr:1_{BA6ABAC5-8083-A440-BFDA-7D9EE47BE490}" xr6:coauthVersionLast="47" xr6:coauthVersionMax="47" xr10:uidLastSave="{00000000-0000-0000-0000-000000000000}"/>
  <bookViews>
    <workbookView xWindow="32760" yWindow="-2680" windowWidth="28020" windowHeight="17620" xr2:uid="{B5AA932F-9FB8-824D-99F9-154E6C7A2D2A}"/>
  </bookViews>
  <sheets>
    <sheet name="Sheet1" sheetId="1" r:id="rId1"/>
    <sheet name="Detailed Scores" sheetId="2" r:id="rId2"/>
  </sheets>
  <definedNames>
    <definedName name="_xlchart.v1.0" hidden="1">Sheet1!$C$3:$C$10</definedName>
    <definedName name="_xlchart.v1.1" hidden="1">Sheet1!$D$2</definedName>
    <definedName name="_xlchart.v1.2" hidden="1">Sheet1!$D$3:$D$10</definedName>
    <definedName name="_xlchart.v1.3" hidden="1">Sheet1!$C$3:$C$10</definedName>
    <definedName name="_xlchart.v1.4" hidden="1">Sheet1!$D$2</definedName>
    <definedName name="_xlchart.v1.5" hidden="1">Sheet1!$D$3:$D$10</definedName>
    <definedName name="_xlchart.v1.6" hidden="1">Sheet1!$C$3:$C$10</definedName>
    <definedName name="_xlchart.v1.7" hidden="1">Sheet1!$D$2</definedName>
    <definedName name="_xlchart.v1.8" hidden="1">Sheet1!$D$3:$D$10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H8" i="2"/>
  <c r="H7" i="2"/>
  <c r="C7" i="1"/>
  <c r="H6" i="2"/>
  <c r="H3" i="2"/>
  <c r="H4" i="2"/>
  <c r="H5" i="2"/>
  <c r="C4" i="1"/>
  <c r="H2" i="2"/>
</calcChain>
</file>

<file path=xl/sharedStrings.xml><?xml version="1.0" encoding="utf-8"?>
<sst xmlns="http://schemas.openxmlformats.org/spreadsheetml/2006/main" count="46" uniqueCount="37">
  <si>
    <t>Model Name</t>
  </si>
  <si>
    <t>Parameters (B)</t>
  </si>
  <si>
    <t>Qwen 3.5 0.8B</t>
  </si>
  <si>
    <t>Qwen 2.5 Coder 0.5B</t>
  </si>
  <si>
    <t>Score rubric</t>
  </si>
  <si>
    <t>Category</t>
  </si>
  <si>
    <t>Points</t>
  </si>
  <si>
    <t>Description</t>
  </si>
  <si>
    <t>Core functionality</t>
  </si>
  <si>
    <t>UI/UX</t>
  </si>
  <si>
    <t>Visual design</t>
  </si>
  <si>
    <t>Technical implementation</t>
  </si>
  <si>
    <t>Error handling &amp; edge cases</t>
  </si>
  <si>
    <t>Completeness</t>
  </si>
  <si>
    <t>Total</t>
  </si>
  <si>
    <t>Does the frontend implement the intended workflow?</t>
  </si>
  <si>
    <t>Is it intuitive and easy to use?</t>
  </si>
  <si>
    <t>Does it looked polished and intentional?</t>
  </si>
  <si>
    <t>Is the code structured sensibly and reasonably maintainable?</t>
  </si>
  <si>
    <t>Does it handle invalid files, failures, etc.?</t>
  </si>
  <si>
    <t>Does it feel like a finished frontend?</t>
  </si>
  <si>
    <t>Score</t>
  </si>
  <si>
    <t>Time (s)</t>
  </si>
  <si>
    <t>Model name</t>
  </si>
  <si>
    <t>Core functionality (30)</t>
  </si>
  <si>
    <t>UI/UX (20)</t>
  </si>
  <si>
    <t>Visual design (15)</t>
  </si>
  <si>
    <t>Technical implementation (15)</t>
  </si>
  <si>
    <t>Error handling &amp; edge cases (10)</t>
  </si>
  <si>
    <t>Completeness (10)</t>
  </si>
  <si>
    <t>Qwen 2.5 Coder 1.5B</t>
  </si>
  <si>
    <t>Qwen 2.5 Coder 3B</t>
  </si>
  <si>
    <t>Qwen 3 8B</t>
  </si>
  <si>
    <t>Qwen 3.5 2B</t>
  </si>
  <si>
    <t>Qwen 3.5 4B</t>
  </si>
  <si>
    <t>Ministral 3 8B</t>
  </si>
  <si>
    <t>"Create the frontend for a web app that converts WAV files to MP3."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</si>
</sst>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 applyAlignment="1">
      <alignment horizontal="left"/>
    </xf>
    <xf numFmtId="0" fontId="0" fillId="0" borderId="3" xfId="0" applyBorder="1"/>
    <xf numFmtId="0" fontId="0" fillId="0" borderId="4" xfId="0" applyBorder="1"/>
    <xf numFmtId="4" fontId="0" fillId="0" borderId="1" xfId="0" applyNumberForma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Score vs. Time for</a:t>
            </a:r>
            <a:r>
              <a:rPr lang="en-US" sz="2000" baseline="0"/>
              <a:t> LLMs in an Agentic Workflow (aider)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Qwen 2.5 Coder 0.5B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478-0D4E-9ACE-B450EAE3C15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Qwen 2.5 Coder 3B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478-0D4E-9ACE-B450EAE3C15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Qwen 3 8B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478-0D4E-9ACE-B450EAE3C15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Qwen 3.5 2B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478-0D4E-9ACE-B450EAE3C15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Qwen 3.5 4B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478-0D4E-9ACE-B450EAE3C15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Ministral 3 8B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478-0D4E-9ACE-B450EAE3C1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Sheet1!$C$3:$C$10</c:f>
              <c:numCache>
                <c:formatCode>General</c:formatCode>
                <c:ptCount val="8"/>
                <c:pt idx="0">
                  <c:v>54.02</c:v>
                </c:pt>
                <c:pt idx="1">
                  <c:v>#N/A</c:v>
                </c:pt>
                <c:pt idx="2">
                  <c:v>419.87</c:v>
                </c:pt>
                <c:pt idx="3" formatCode="#,##0.00">
                  <c:v>2461.35</c:v>
                </c:pt>
                <c:pt idx="4">
                  <c:v>#N/A</c:v>
                </c:pt>
                <c:pt idx="5">
                  <c:v>554.80999999999995</c:v>
                </c:pt>
                <c:pt idx="6">
                  <c:v>1232.78</c:v>
                </c:pt>
                <c:pt idx="7" formatCode="#,##0.00">
                  <c:v>3603.73</c:v>
                </c:pt>
              </c:numCache>
            </c:numRef>
          </c:xVal>
          <c:yVal>
            <c:numRef>
              <c:f>Sheet1!$D$3:$D$10</c:f>
              <c:numCache>
                <c:formatCode>General</c:formatCode>
                <c:ptCount val="8"/>
                <c:pt idx="0">
                  <c:v>5</c:v>
                </c:pt>
                <c:pt idx="1">
                  <c:v>0</c:v>
                </c:pt>
                <c:pt idx="2">
                  <c:v>46</c:v>
                </c:pt>
                <c:pt idx="3">
                  <c:v>77</c:v>
                </c:pt>
                <c:pt idx="4">
                  <c:v>0</c:v>
                </c:pt>
                <c:pt idx="5">
                  <c:v>69</c:v>
                </c:pt>
                <c:pt idx="6">
                  <c:v>68</c:v>
                </c:pt>
                <c:pt idx="7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78-0D4E-9ACE-B450EAE3C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076847"/>
        <c:axId val="406461471"/>
      </c:scatterChart>
      <c:valAx>
        <c:axId val="4060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to</a:t>
                </a:r>
                <a:r>
                  <a:rPr lang="en-US" sz="1600" baseline="0"/>
                  <a:t> complete (s)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461471"/>
        <c:crosses val="autoZero"/>
        <c:crossBetween val="midCat"/>
      </c:valAx>
      <c:valAx>
        <c:axId val="40646147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7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333373</xdr:colOff>
      <xdr:row>11</xdr:row>
      <xdr:rowOff>131234</xdr:rowOff>
    </xdr:from>
    <xdr:to>
      <xdr:col>8</xdr:col>
      <xdr:colOff>1809750</xdr:colOff>
      <xdr:row>39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9E0AA1-A76F-D85D-CDB2-3FDF86A45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A5FF-0486-7E4C-884A-2E4F36716025}">
  <dimension ref="A1:K10"/>
  <sheetViews>
    <sheetView tabSelected="1" topLeftCell="A7" zoomScale="120" zoomScaleNormal="120" workbookViewId="0">
      <selection activeCell="J23" sqref="J23"/>
    </sheetView>
  </sheetViews>
  <sheetFormatPr baseColWidth="10" defaultRowHeight="16" x14ac:dyDescent="0.2"/>
  <cols>
    <col min="1" max="1" width="17.33203125" customWidth="1"/>
    <col min="2" max="2" width="15.5" customWidth="1"/>
    <col min="3" max="3" width="19.5" customWidth="1"/>
    <col min="4" max="4" width="15.83203125" bestFit="1" customWidth="1"/>
    <col min="9" max="9" width="26.83203125" customWidth="1"/>
  </cols>
  <sheetData>
    <row r="1" spans="1:11" ht="17" thickBot="1" x14ac:dyDescent="0.25">
      <c r="A1" t="s">
        <v>36</v>
      </c>
      <c r="I1" s="3" t="s">
        <v>4</v>
      </c>
      <c r="J1" s="3"/>
    </row>
    <row r="2" spans="1:11" ht="17" thickBot="1" x14ac:dyDescent="0.25">
      <c r="A2" s="4" t="s">
        <v>0</v>
      </c>
      <c r="B2" s="7" t="s">
        <v>1</v>
      </c>
      <c r="C2" s="7" t="s">
        <v>22</v>
      </c>
      <c r="D2" s="5" t="s">
        <v>21</v>
      </c>
      <c r="I2" s="4" t="s">
        <v>5</v>
      </c>
      <c r="J2" s="5" t="s">
        <v>6</v>
      </c>
      <c r="K2" t="s">
        <v>7</v>
      </c>
    </row>
    <row r="3" spans="1:11" x14ac:dyDescent="0.2">
      <c r="A3" s="2" t="s">
        <v>3</v>
      </c>
      <c r="B3" s="2">
        <v>0.5</v>
      </c>
      <c r="C3" s="2">
        <v>54.02</v>
      </c>
      <c r="D3" s="2">
        <v>5</v>
      </c>
      <c r="I3" s="2" t="s">
        <v>8</v>
      </c>
      <c r="J3" s="2">
        <v>30</v>
      </c>
      <c r="K3" t="s">
        <v>15</v>
      </c>
    </row>
    <row r="4" spans="1:11" x14ac:dyDescent="0.2">
      <c r="A4" s="1" t="s">
        <v>30</v>
      </c>
      <c r="B4" s="1">
        <v>1.5</v>
      </c>
      <c r="C4" s="1" t="e">
        <f>NA()</f>
        <v>#N/A</v>
      </c>
      <c r="D4" s="1">
        <v>0</v>
      </c>
      <c r="I4" s="1" t="s">
        <v>9</v>
      </c>
      <c r="J4" s="1">
        <v>20</v>
      </c>
      <c r="K4" t="s">
        <v>16</v>
      </c>
    </row>
    <row r="5" spans="1:11" x14ac:dyDescent="0.2">
      <c r="A5" s="1" t="s">
        <v>31</v>
      </c>
      <c r="B5" s="1">
        <v>3</v>
      </c>
      <c r="C5" s="1">
        <v>419.87</v>
      </c>
      <c r="D5" s="1">
        <v>46</v>
      </c>
      <c r="I5" s="1" t="s">
        <v>10</v>
      </c>
      <c r="J5" s="1">
        <v>15</v>
      </c>
      <c r="K5" t="s">
        <v>17</v>
      </c>
    </row>
    <row r="6" spans="1:11" x14ac:dyDescent="0.2">
      <c r="A6" s="1" t="s">
        <v>32</v>
      </c>
      <c r="B6" s="1">
        <v>8</v>
      </c>
      <c r="C6" s="6">
        <v>2461.35</v>
      </c>
      <c r="D6" s="1">
        <v>77</v>
      </c>
      <c r="I6" s="1" t="s">
        <v>11</v>
      </c>
      <c r="J6" s="1">
        <v>15</v>
      </c>
      <c r="K6" t="s">
        <v>18</v>
      </c>
    </row>
    <row r="7" spans="1:11" x14ac:dyDescent="0.2">
      <c r="A7" s="1" t="s">
        <v>2</v>
      </c>
      <c r="B7" s="1">
        <v>0.8</v>
      </c>
      <c r="C7" s="1" t="e">
        <f>NA()</f>
        <v>#N/A</v>
      </c>
      <c r="D7" s="1">
        <v>0</v>
      </c>
      <c r="I7" s="1" t="s">
        <v>12</v>
      </c>
      <c r="J7" s="1">
        <v>10</v>
      </c>
      <c r="K7" t="s">
        <v>19</v>
      </c>
    </row>
    <row r="8" spans="1:11" x14ac:dyDescent="0.2">
      <c r="A8" s="1" t="s">
        <v>33</v>
      </c>
      <c r="B8" s="1">
        <v>2</v>
      </c>
      <c r="C8" s="1">
        <v>554.80999999999995</v>
      </c>
      <c r="D8" s="1">
        <v>69</v>
      </c>
      <c r="I8" s="1" t="s">
        <v>13</v>
      </c>
      <c r="J8" s="1">
        <v>10</v>
      </c>
      <c r="K8" t="s">
        <v>20</v>
      </c>
    </row>
    <row r="9" spans="1:11" x14ac:dyDescent="0.2">
      <c r="A9" s="1" t="s">
        <v>34</v>
      </c>
      <c r="B9" s="1">
        <v>4</v>
      </c>
      <c r="C9" s="1">
        <v>1232.78</v>
      </c>
      <c r="D9" s="1">
        <v>68</v>
      </c>
      <c r="I9" s="1" t="s">
        <v>14</v>
      </c>
      <c r="J9" s="1">
        <v>100</v>
      </c>
    </row>
    <row r="10" spans="1:11" x14ac:dyDescent="0.2">
      <c r="A10" s="1" t="s">
        <v>35</v>
      </c>
      <c r="B10" s="1">
        <v>8</v>
      </c>
      <c r="C10" s="6">
        <v>3603.73</v>
      </c>
      <c r="D10" s="1">
        <v>84</v>
      </c>
    </row>
  </sheetData>
  <mergeCells count="1">
    <mergeCell ref="I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3AE7-2106-FE4D-B4EF-58819087AAAE}">
  <dimension ref="A1:H9"/>
  <sheetViews>
    <sheetView zoomScale="120" zoomScaleNormal="120" workbookViewId="0">
      <selection activeCell="A10" sqref="A10"/>
    </sheetView>
  </sheetViews>
  <sheetFormatPr baseColWidth="10" defaultRowHeight="16" x14ac:dyDescent="0.2"/>
  <cols>
    <col min="1" max="1" width="32.33203125" customWidth="1"/>
    <col min="2" max="2" width="22.1640625" customWidth="1"/>
    <col min="3" max="3" width="11.6640625" customWidth="1"/>
    <col min="4" max="4" width="18.33203125" customWidth="1"/>
    <col min="5" max="5" width="28.83203125" customWidth="1"/>
    <col min="6" max="6" width="28.33203125" customWidth="1"/>
    <col min="7" max="7" width="18.5" customWidth="1"/>
    <col min="8" max="8" width="5.1640625" bestFit="1" customWidth="1"/>
  </cols>
  <sheetData>
    <row r="1" spans="1:8" x14ac:dyDescent="0.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14</v>
      </c>
    </row>
    <row r="2" spans="1:8" x14ac:dyDescent="0.2">
      <c r="A2" t="s">
        <v>3</v>
      </c>
      <c r="B2">
        <v>2</v>
      </c>
      <c r="C2">
        <v>0</v>
      </c>
      <c r="D2">
        <v>0</v>
      </c>
      <c r="E2">
        <v>2</v>
      </c>
      <c r="F2">
        <v>1</v>
      </c>
      <c r="G2">
        <v>0</v>
      </c>
      <c r="H2">
        <f>SUM(B2:G2)</f>
        <v>5</v>
      </c>
    </row>
    <row r="3" spans="1:8" x14ac:dyDescent="0.2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f t="shared" ref="H3:H9" si="0">SUM(B3:G3)</f>
        <v>0</v>
      </c>
    </row>
    <row r="4" spans="1:8" x14ac:dyDescent="0.2">
      <c r="A4" t="s">
        <v>31</v>
      </c>
      <c r="B4">
        <v>13</v>
      </c>
      <c r="C4">
        <v>13</v>
      </c>
      <c r="D4">
        <v>8</v>
      </c>
      <c r="E4">
        <v>5</v>
      </c>
      <c r="F4">
        <v>2</v>
      </c>
      <c r="G4">
        <v>5</v>
      </c>
      <c r="H4">
        <f t="shared" si="0"/>
        <v>46</v>
      </c>
    </row>
    <row r="5" spans="1:8" x14ac:dyDescent="0.2">
      <c r="A5" t="s">
        <v>32</v>
      </c>
      <c r="B5">
        <v>24</v>
      </c>
      <c r="C5">
        <v>17</v>
      </c>
      <c r="D5">
        <v>12</v>
      </c>
      <c r="E5">
        <v>11</v>
      </c>
      <c r="F5">
        <v>5</v>
      </c>
      <c r="G5">
        <v>8</v>
      </c>
      <c r="H5">
        <f t="shared" si="0"/>
        <v>77</v>
      </c>
    </row>
    <row r="6" spans="1:8" x14ac:dyDescent="0.2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f t="shared" si="0"/>
        <v>0</v>
      </c>
    </row>
    <row r="7" spans="1:8" x14ac:dyDescent="0.2">
      <c r="A7" t="s">
        <v>33</v>
      </c>
      <c r="B7">
        <v>21</v>
      </c>
      <c r="C7">
        <v>16</v>
      </c>
      <c r="D7">
        <v>14</v>
      </c>
      <c r="E7">
        <v>8</v>
      </c>
      <c r="F7">
        <v>3</v>
      </c>
      <c r="G7">
        <v>7</v>
      </c>
      <c r="H7">
        <f t="shared" si="0"/>
        <v>69</v>
      </c>
    </row>
    <row r="8" spans="1:8" x14ac:dyDescent="0.2">
      <c r="A8" t="s">
        <v>34</v>
      </c>
      <c r="B8">
        <v>21</v>
      </c>
      <c r="C8">
        <v>15</v>
      </c>
      <c r="D8">
        <v>13</v>
      </c>
      <c r="E8">
        <v>8</v>
      </c>
      <c r="F8">
        <v>4</v>
      </c>
      <c r="G8">
        <v>7</v>
      </c>
      <c r="H8">
        <f t="shared" si="0"/>
        <v>68</v>
      </c>
    </row>
    <row r="9" spans="1:8" x14ac:dyDescent="0.2">
      <c r="A9" t="s">
        <v>35</v>
      </c>
      <c r="B9">
        <v>26</v>
      </c>
      <c r="C9">
        <v>18</v>
      </c>
      <c r="D9">
        <v>13</v>
      </c>
      <c r="E9">
        <v>12</v>
      </c>
      <c r="F9">
        <v>6</v>
      </c>
      <c r="G9">
        <v>9</v>
      </c>
      <c r="H9">
        <f t="shared" si="0"/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Detailed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Rathore, Apoorav</dc:creator>
  <cp:lastModifiedBy>Rathore, Apoorav</cp:lastModifiedBy>
  <dcterms:created xsi:type="dcterms:W3CDTF">2026-07-25T18:24:45Z</dcterms:created>
  <dcterms:modified xsi:type="dcterms:W3CDTF">2026-07-26T22:10:12Z</dcterms:modified>
</cp:coreProperties>
</file>